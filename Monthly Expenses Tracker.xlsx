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DE03C28-141B-4D94-93C6-074E513C33BC}" xr6:coauthVersionLast="47" xr6:coauthVersionMax="47" xr10:uidLastSave="{00000000-0000-0000-0000-000000000000}"/>
  <bookViews>
    <workbookView xWindow="-110" yWindow="-110" windowWidth="19420" windowHeight="10420" xr2:uid="{B8BE8413-D726-457B-86B7-AAFDF1CAD146}"/>
  </bookViews>
  <sheets>
    <sheet name="Dashboard" sheetId="1" r:id="rId1"/>
    <sheet name="Monthly Budget" sheetId="2" r:id="rId2"/>
    <sheet name="Expense Track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D12" i="2"/>
  <c r="B12" i="2"/>
  <c r="D13" i="2"/>
  <c r="D11" i="1"/>
  <c r="D10" i="1"/>
  <c r="D9" i="1"/>
  <c r="D8" i="1"/>
  <c r="D7" i="1"/>
  <c r="D6" i="1"/>
  <c r="D5" i="1"/>
  <c r="C11" i="1"/>
  <c r="C10" i="1"/>
  <c r="C9" i="1"/>
  <c r="C8" i="1"/>
  <c r="C7" i="1"/>
  <c r="C6" i="1"/>
  <c r="C5" i="1"/>
  <c r="D16" i="3"/>
  <c r="H6" i="3"/>
  <c r="H5" i="3"/>
  <c r="H4" i="3"/>
  <c r="H3" i="3"/>
  <c r="H7" i="3" s="1"/>
  <c r="D10" i="2"/>
  <c r="E10" i="2"/>
  <c r="D4" i="2"/>
  <c r="E4" i="2" s="1"/>
  <c r="D5" i="2"/>
  <c r="D6" i="2"/>
  <c r="E6" i="2" s="1"/>
  <c r="D7" i="2"/>
  <c r="E7" i="2" s="1"/>
  <c r="D8" i="2"/>
  <c r="E8" i="2" s="1"/>
  <c r="D9" i="2"/>
  <c r="E9" i="2" s="1"/>
  <c r="E5" i="2" l="1"/>
</calcChain>
</file>

<file path=xl/sharedStrings.xml><?xml version="1.0" encoding="utf-8"?>
<sst xmlns="http://schemas.openxmlformats.org/spreadsheetml/2006/main" count="81" uniqueCount="51">
  <si>
    <t>Transport</t>
  </si>
  <si>
    <t>Subscriptions</t>
  </si>
  <si>
    <t>Category</t>
  </si>
  <si>
    <t>Rent/Housing</t>
  </si>
  <si>
    <t>Food &amp; Groceries</t>
  </si>
  <si>
    <t>Gym</t>
  </si>
  <si>
    <t>Date</t>
  </si>
  <si>
    <t>Description</t>
  </si>
  <si>
    <t>Amount (₦)</t>
  </si>
  <si>
    <t>Skincare &amp; Toiletries</t>
  </si>
  <si>
    <t>Fuel</t>
  </si>
  <si>
    <t>Monthly membership</t>
  </si>
  <si>
    <t>Skincare products</t>
  </si>
  <si>
    <t>Netflix</t>
  </si>
  <si>
    <t>Market run</t>
  </si>
  <si>
    <t>Uber rides</t>
  </si>
  <si>
    <t>Budgeted Amount (₦)</t>
  </si>
  <si>
    <t>Actual Amount (₦)</t>
  </si>
  <si>
    <t>Difference (₦)</t>
  </si>
  <si>
    <t>Status</t>
  </si>
  <si>
    <t>📋 Monthly Budget Planner</t>
  </si>
  <si>
    <t>Track what you plan to spend vs what you actually spend each month 🤍</t>
  </si>
  <si>
    <t>TOTALS</t>
  </si>
  <si>
    <t>TOTAL INCOME</t>
  </si>
  <si>
    <t>REMAINING BALANCE</t>
  </si>
  <si>
    <t>Payment Method</t>
  </si>
  <si>
    <t>Groceries from market</t>
  </si>
  <si>
    <t>Spotify premium</t>
  </si>
  <si>
    <t>Hair products</t>
  </si>
  <si>
    <t>Transfer</t>
  </si>
  <si>
    <t>Supermarket run</t>
  </si>
  <si>
    <t>Cash</t>
  </si>
  <si>
    <t>Card</t>
  </si>
  <si>
    <t>Savings Goal</t>
  </si>
  <si>
    <t>Data bundle</t>
  </si>
  <si>
    <t>💳 Expense Tracker</t>
  </si>
  <si>
    <t>Record every naira you spend. Small amounts add up! 🤍</t>
  </si>
  <si>
    <t>📊 Quick Stats</t>
  </si>
  <si>
    <t>Number of Transactions</t>
  </si>
  <si>
    <t>Highest Single Expense</t>
  </si>
  <si>
    <t>Average per Transaction</t>
  </si>
  <si>
    <t>Lowest Single Expense</t>
  </si>
  <si>
    <t>Total Spent</t>
  </si>
  <si>
    <t>Review Spending</t>
  </si>
  <si>
    <t>TOTAL</t>
  </si>
  <si>
    <t>🤍 My Monthly Budget Dashboard 🤍</t>
  </si>
  <si>
    <t>Budgeted</t>
  </si>
  <si>
    <t>Actual</t>
  </si>
  <si>
    <t>Savings</t>
  </si>
  <si>
    <t xml:space="preserve">🤍 Daily Motivation 🤍
</t>
  </si>
  <si>
    <t>Save today, enjoy tomorrow. Your future self will thank you!" 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</si>
</sst>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B05B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3" fontId="0" fillId="0" borderId="0" xfId="0" applyNumberFormat="1"/>
    <xf numFmtId="14" fontId="0" fillId="0" borderId="0" xfId="0" applyNumberFormat="1"/>
    <xf numFmtId="0" fontId="2" fillId="0" borderId="0" xfId="0" applyFont="1"/>
    <xf numFmtId="0" fontId="0" fillId="4" borderId="0" xfId="0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/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9" fillId="0" borderId="0" xfId="0" applyFont="1"/>
    <xf numFmtId="0" fontId="6" fillId="0" borderId="0" xfId="0" applyFont="1"/>
    <xf numFmtId="0" fontId="6" fillId="2" borderId="0" xfId="0" applyFont="1" applyFill="1"/>
    <xf numFmtId="0" fontId="6" fillId="7" borderId="0" xfId="0" applyFont="1" applyFill="1"/>
    <xf numFmtId="0" fontId="9" fillId="7" borderId="0" xfId="0" applyFont="1" applyFill="1"/>
    <xf numFmtId="0" fontId="6" fillId="3" borderId="0" xfId="0" applyFont="1" applyFill="1"/>
    <xf numFmtId="3" fontId="6" fillId="0" borderId="0" xfId="0" applyNumberFormat="1" applyFont="1"/>
    <xf numFmtId="3" fontId="6" fillId="7" borderId="0" xfId="0" applyNumberFormat="1" applyFont="1" applyFill="1"/>
    <xf numFmtId="3" fontId="6" fillId="0" borderId="0" xfId="0" applyNumberFormat="1" applyFont="1" applyFill="1"/>
    <xf numFmtId="3" fontId="6" fillId="3" borderId="0" xfId="0" applyNumberFormat="1" applyFont="1" applyFill="1"/>
    <xf numFmtId="3" fontId="10" fillId="4" borderId="0" xfId="0" applyNumberFormat="1" applyFont="1" applyFill="1"/>
    <xf numFmtId="0" fontId="10" fillId="4" borderId="0" xfId="0" applyFont="1" applyFill="1"/>
    <xf numFmtId="0" fontId="4" fillId="6" borderId="0" xfId="0" applyFont="1" applyFill="1" applyAlignment="1">
      <alignment horizontal="center"/>
    </xf>
    <xf numFmtId="0" fontId="5" fillId="9" borderId="1" xfId="0" applyFont="1" applyFill="1" applyBorder="1"/>
    <xf numFmtId="0" fontId="0" fillId="9" borderId="1" xfId="0" applyFill="1" applyBorder="1"/>
    <xf numFmtId="3" fontId="0" fillId="9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4" fillId="8" borderId="0" xfId="0" applyFont="1" applyFill="1" applyAlignment="1">
      <alignment horizontal="center"/>
    </xf>
    <xf numFmtId="3" fontId="4" fillId="8" borderId="0" xfId="0" applyNumberFormat="1" applyFont="1" applyFill="1"/>
    <xf numFmtId="0" fontId="11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1" fillId="10" borderId="0" xfId="0" applyFont="1" applyFill="1" applyAlignment="1">
      <alignment horizontal="center" vertical="top" wrapText="1"/>
    </xf>
    <xf numFmtId="0" fontId="0" fillId="10" borderId="0" xfId="0" applyFill="1" applyAlignment="1">
      <alignment horizontal="center" vertical="top"/>
    </xf>
    <xf numFmtId="0" fontId="12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theme="9" tint="-0.24994659260841701"/>
      </font>
    </dxf>
    <dxf>
      <font>
        <color rgb="FFC00000"/>
      </font>
    </dxf>
  </dxfs>
  <tableStyles count="0" defaultTableStyle="TableStyleMedium2" defaultPivotStyle="PivotStyleLight16"/>
  <colors>
    <mruColors>
      <color rgb="FF9B6D92"/>
      <color rgb="FFBB05BB"/>
      <color rgb="FFB7094B"/>
      <color rgb="FFC60E84"/>
      <color rgb="FF8D477B"/>
      <color rgb="FFA32D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ysClr val="windowText" lastClr="000000"/>
                </a:solidFill>
              </a:rPr>
              <a:t>Budget</a:t>
            </a:r>
            <a:r>
              <a:rPr lang="en-GB" sz="1600" b="1" baseline="0">
                <a:solidFill>
                  <a:sysClr val="windowText" lastClr="000000"/>
                </a:solidFill>
              </a:rPr>
              <a:t> vs Actual</a:t>
            </a:r>
            <a:endParaRPr lang="en-GB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1009487967889177"/>
          <c:y val="0.15755059172257016"/>
          <c:w val="0.6856954085899265"/>
          <c:h val="0.601997760146203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Dashboard!$C$4</c:f>
              <c:strCache>
                <c:ptCount val="1"/>
                <c:pt idx="0">
                  <c:v>Budgeted</c:v>
                </c:pt>
              </c:strCache>
            </c:strRef>
          </c:tx>
          <c:spPr>
            <a:solidFill>
              <a:srgbClr val="9B6D92"/>
            </a:solidFill>
            <a:ln>
              <a:noFill/>
            </a:ln>
            <a:effectLst/>
          </c:spPr>
          <c:invertIfNegative val="0"/>
          <c:cat>
            <c:strRef>
              <c:f>Dashboard!$B$5:$B$11</c:f>
              <c:strCache>
                <c:ptCount val="7"/>
                <c:pt idx="0">
                  <c:v>Rent/Housing</c:v>
                </c:pt>
                <c:pt idx="1">
                  <c:v>Food &amp; Groceries</c:v>
                </c:pt>
                <c:pt idx="2">
                  <c:v>Transport</c:v>
                </c:pt>
                <c:pt idx="3">
                  <c:v>Subscriptions</c:v>
                </c:pt>
                <c:pt idx="4">
                  <c:v>Skincare &amp; Toiletries</c:v>
                </c:pt>
                <c:pt idx="5">
                  <c:v>Gym</c:v>
                </c:pt>
                <c:pt idx="6">
                  <c:v>Savings</c:v>
                </c:pt>
              </c:strCache>
            </c:strRef>
          </c:cat>
          <c:val>
            <c:numRef>
              <c:f>Dashboard!$C$5:$C$11</c:f>
              <c:numCache>
                <c:formatCode>#,##0</c:formatCode>
                <c:ptCount val="7"/>
                <c:pt idx="0">
                  <c:v>150000</c:v>
                </c:pt>
                <c:pt idx="1">
                  <c:v>60000</c:v>
                </c:pt>
                <c:pt idx="2">
                  <c:v>25000</c:v>
                </c:pt>
                <c:pt idx="3">
                  <c:v>10000</c:v>
                </c:pt>
                <c:pt idx="4">
                  <c:v>15000</c:v>
                </c:pt>
                <c:pt idx="5">
                  <c:v>8000</c:v>
                </c:pt>
                <c:pt idx="6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7-48A2-963F-AB426537C044}"/>
            </c:ext>
          </c:extLst>
        </c:ser>
        <c:ser>
          <c:idx val="1"/>
          <c:order val="1"/>
          <c:tx>
            <c:strRef>
              <c:f>Dashboard!$D$4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Dashboard!$B$5:$B$11</c:f>
              <c:strCache>
                <c:ptCount val="7"/>
                <c:pt idx="0">
                  <c:v>Rent/Housing</c:v>
                </c:pt>
                <c:pt idx="1">
                  <c:v>Food &amp; Groceries</c:v>
                </c:pt>
                <c:pt idx="2">
                  <c:v>Transport</c:v>
                </c:pt>
                <c:pt idx="3">
                  <c:v>Subscriptions</c:v>
                </c:pt>
                <c:pt idx="4">
                  <c:v>Skincare &amp; Toiletries</c:v>
                </c:pt>
                <c:pt idx="5">
                  <c:v>Gym</c:v>
                </c:pt>
                <c:pt idx="6">
                  <c:v>Savings</c:v>
                </c:pt>
              </c:strCache>
            </c:strRef>
          </c:cat>
          <c:val>
            <c:numRef>
              <c:f>Dashboard!$D$5:$D$11</c:f>
              <c:numCache>
                <c:formatCode>#,##0</c:formatCode>
                <c:ptCount val="7"/>
                <c:pt idx="0">
                  <c:v>150000</c:v>
                </c:pt>
                <c:pt idx="1">
                  <c:v>72000</c:v>
                </c:pt>
                <c:pt idx="2">
                  <c:v>28000</c:v>
                </c:pt>
                <c:pt idx="3">
                  <c:v>9500</c:v>
                </c:pt>
                <c:pt idx="4">
                  <c:v>12000</c:v>
                </c:pt>
                <c:pt idx="5">
                  <c:v>6000</c:v>
                </c:pt>
                <c:pt idx="6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07-48A2-963F-AB426537C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101935"/>
        <c:axId val="540106255"/>
      </c:barChart>
      <c:catAx>
        <c:axId val="54010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40106255"/>
        <c:crosses val="autoZero"/>
        <c:auto val="1"/>
        <c:lblAlgn val="ctr"/>
        <c:lblOffset val="100"/>
        <c:noMultiLvlLbl val="0"/>
      </c:catAx>
      <c:valAx>
        <c:axId val="54010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40101935"/>
        <c:crosses val="autoZero"/>
        <c:crossBetween val="between"/>
      </c:valAx>
      <c:spPr>
        <a:gradFill>
          <a:gsLst>
            <a:gs pos="5172">
              <a:schemeClr val="accent1">
                <a:lumMod val="5000"/>
                <a:lumOff val="95000"/>
              </a:schemeClr>
            </a:gs>
            <a:gs pos="35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ysClr val="windowText" lastClr="000000"/>
                </a:solidFill>
              </a:rPr>
              <a:t>Where</a:t>
            </a:r>
            <a:r>
              <a:rPr lang="en-GB" sz="1600" b="1" baseline="0">
                <a:solidFill>
                  <a:sysClr val="windowText" lastClr="000000"/>
                </a:solidFill>
              </a:rPr>
              <a:t> Your Money Goes</a:t>
            </a:r>
            <a:endParaRPr lang="en-GB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Dashboard!$D$4</c:f>
              <c:strCache>
                <c:ptCount val="1"/>
                <c:pt idx="0">
                  <c:v>Actual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6F1-4B32-8627-67ABDFA2E9B3}"/>
              </c:ext>
            </c:extLst>
          </c:dPt>
          <c:dPt>
            <c:idx val="1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F1-4B32-8627-67ABDFA2E9B3}"/>
              </c:ext>
            </c:extLst>
          </c:dPt>
          <c:dPt>
            <c:idx val="2"/>
            <c:bubble3D val="0"/>
            <c:spPr>
              <a:solidFill>
                <a:schemeClr val="accent2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F1-4B32-8627-67ABDFA2E9B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ECAC7C8-8D6C-450A-AED8-5392F794C8AF}" type="CATEGORYNAM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C3C17C99-8307-407A-BC67-F9346112AC20}" type="PERCENTAGE">
                      <a:rPr lang="en-US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6F1-4B32-8627-67ABDFA2E9B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E5E2C6-F33F-4979-82B3-15AC66D3AAB5}" type="CATEGORYNAME">
                      <a:rPr lang="en-US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
</a:t>
                    </a:r>
                    <a:fld id="{2C6791BF-940E-4BDA-A870-4FE9E448F68E}" type="PERCENTAGE">
                      <a:rPr lang="en-US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6F1-4B32-8627-67ABDFA2E9B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D688C02-0312-4B36-85D2-38E76AB8DF87}" type="CATEGORYNAME">
                      <a:rPr lang="en-US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
</a:t>
                    </a:r>
                    <a:fld id="{85F03877-6CCC-49D0-A5C7-5F3075D7FA81}" type="PERCENTAGE">
                      <a:rPr lang="en-US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6F1-4B32-8627-67ABDFA2E9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Dashboard!$B$5:$B$11</c:f>
              <c:strCache>
                <c:ptCount val="7"/>
                <c:pt idx="0">
                  <c:v>Rent/Housing</c:v>
                </c:pt>
                <c:pt idx="1">
                  <c:v>Food &amp; Groceries</c:v>
                </c:pt>
                <c:pt idx="2">
                  <c:v>Transport</c:v>
                </c:pt>
                <c:pt idx="3">
                  <c:v>Subscriptions</c:v>
                </c:pt>
                <c:pt idx="4">
                  <c:v>Skincare &amp; Toiletries</c:v>
                </c:pt>
                <c:pt idx="5">
                  <c:v>Gym</c:v>
                </c:pt>
                <c:pt idx="6">
                  <c:v>Savings</c:v>
                </c:pt>
              </c:strCache>
            </c:strRef>
          </c:cat>
          <c:val>
            <c:numRef>
              <c:f>Dashboard!$D$5:$D$11</c:f>
              <c:numCache>
                <c:formatCode>#,##0</c:formatCode>
                <c:ptCount val="7"/>
                <c:pt idx="0">
                  <c:v>150000</c:v>
                </c:pt>
                <c:pt idx="1">
                  <c:v>72000</c:v>
                </c:pt>
                <c:pt idx="2">
                  <c:v>28000</c:v>
                </c:pt>
                <c:pt idx="3">
                  <c:v>9500</c:v>
                </c:pt>
                <c:pt idx="4">
                  <c:v>12000</c:v>
                </c:pt>
                <c:pt idx="5">
                  <c:v>6000</c:v>
                </c:pt>
                <c:pt idx="6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1-4B32-8627-67ABDFA2E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156575</xdr:colOff>
      <xdr:row>3</xdr:row>
      <xdr:rowOff>20193</xdr:rowOff>
    </xdr:from>
    <xdr:to>
      <xdr:col>4</xdr:col>
      <xdr:colOff>741779</xdr:colOff>
      <xdr:row>22</xdr:row>
      <xdr:rowOff>164664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78A37-0EFE-C140-7401-837743C4E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917134</xdr:colOff>
      <xdr:row>3</xdr:row>
      <xdr:rowOff>18970</xdr:rowOff>
    </xdr:from>
    <xdr:to>
      <xdr:col>12</xdr:col>
      <xdr:colOff>434051</xdr:colOff>
      <xdr:row>22</xdr:row>
      <xdr:rowOff>167105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9CDD5E-C186-8797-F217-83B720241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9F9C-9A69-4970-816A-09C0BED26BA4}">
  <dimension ref="B1:F26"/>
  <sheetViews>
    <sheetView tabSelected="1" zoomScale="73" workbookViewId="0">
      <selection activeCell="F28" sqref="F28"/>
    </sheetView>
  </sheetViews>
  <sheetFormatPr defaultRowHeight="14.5" x14ac:dyDescent="0.35"/>
  <cols>
    <col min="1" max="1" width="2.36328125" customWidth="1"/>
    <col min="2" max="2" width="17" customWidth="1"/>
    <col min="3" max="3" width="18.7265625" customWidth="1"/>
    <col min="4" max="4" width="19.36328125" customWidth="1"/>
    <col min="5" max="5" width="19" customWidth="1"/>
    <col min="6" max="6" width="25.7265625" customWidth="1"/>
  </cols>
  <sheetData>
    <row r="1" spans="2:6" ht="10.5" customHeight="1" x14ac:dyDescent="0.35"/>
    <row r="2" spans="2:6" ht="40.5" customHeight="1" x14ac:dyDescent="0.35">
      <c r="B2" s="35" t="s">
        <v>45</v>
      </c>
      <c r="C2" s="36"/>
      <c r="D2" s="36"/>
      <c r="E2" s="36"/>
      <c r="F2" s="36"/>
    </row>
    <row r="4" spans="2:6" x14ac:dyDescent="0.35">
      <c r="B4" s="8" t="s">
        <v>2</v>
      </c>
      <c r="C4" s="8" t="s">
        <v>46</v>
      </c>
      <c r="D4" s="8" t="s">
        <v>47</v>
      </c>
    </row>
    <row r="5" spans="2:6" x14ac:dyDescent="0.35">
      <c r="B5" s="11" t="s">
        <v>3</v>
      </c>
      <c r="C5" s="1">
        <f>'Monthly Budget'!B4</f>
        <v>150000</v>
      </c>
      <c r="D5" s="1">
        <f>'Monthly Budget'!C4</f>
        <v>150000</v>
      </c>
    </row>
    <row r="6" spans="2:6" x14ac:dyDescent="0.35">
      <c r="B6" t="s">
        <v>4</v>
      </c>
      <c r="C6" s="1">
        <f>'Monthly Budget'!B5</f>
        <v>60000</v>
      </c>
      <c r="D6" s="1">
        <f>'Monthly Budget'!C5</f>
        <v>72000</v>
      </c>
    </row>
    <row r="7" spans="2:6" x14ac:dyDescent="0.35">
      <c r="B7" t="s">
        <v>0</v>
      </c>
      <c r="C7" s="1">
        <f>'Monthly Budget'!B6</f>
        <v>25000</v>
      </c>
      <c r="D7" s="1">
        <f>'Monthly Budget'!C6</f>
        <v>28000</v>
      </c>
    </row>
    <row r="8" spans="2:6" x14ac:dyDescent="0.35">
      <c r="B8" t="s">
        <v>1</v>
      </c>
      <c r="C8" s="1">
        <f>'Monthly Budget'!B7</f>
        <v>10000</v>
      </c>
      <c r="D8" s="1">
        <f>'Monthly Budget'!C7</f>
        <v>9500</v>
      </c>
    </row>
    <row r="9" spans="2:6" x14ac:dyDescent="0.35">
      <c r="B9" t="s">
        <v>9</v>
      </c>
      <c r="C9" s="1">
        <f>'Monthly Budget'!B8</f>
        <v>15000</v>
      </c>
      <c r="D9" s="1">
        <f>'Monthly Budget'!C8</f>
        <v>12000</v>
      </c>
    </row>
    <row r="10" spans="2:6" x14ac:dyDescent="0.35">
      <c r="B10" t="s">
        <v>5</v>
      </c>
      <c r="C10" s="1">
        <f>'Monthly Budget'!B9</f>
        <v>8000</v>
      </c>
      <c r="D10" s="1">
        <f>'Monthly Budget'!C9</f>
        <v>6000</v>
      </c>
    </row>
    <row r="11" spans="2:6" x14ac:dyDescent="0.35">
      <c r="B11" t="s">
        <v>48</v>
      </c>
      <c r="C11" s="1">
        <f>'Monthly Budget'!B10</f>
        <v>50000</v>
      </c>
      <c r="D11" s="1">
        <f>'Monthly Budget'!C10</f>
        <v>50000</v>
      </c>
    </row>
    <row r="24" spans="2:6" ht="28.5" customHeight="1" x14ac:dyDescent="0.35"/>
    <row r="25" spans="2:6" ht="36" customHeight="1" x14ac:dyDescent="0.35">
      <c r="B25" s="37" t="s">
        <v>49</v>
      </c>
      <c r="C25" s="38"/>
      <c r="D25" s="38"/>
      <c r="E25" s="38"/>
      <c r="F25" s="38"/>
    </row>
    <row r="26" spans="2:6" ht="50.5" customHeight="1" x14ac:dyDescent="0.35">
      <c r="B26" s="39" t="s">
        <v>50</v>
      </c>
      <c r="C26" s="40"/>
      <c r="D26" s="40"/>
      <c r="E26" s="40"/>
      <c r="F26" s="40"/>
    </row>
  </sheetData>
  <mergeCells count="3">
    <mergeCell ref="B2:F2"/>
    <mergeCell ref="B25:F25"/>
    <mergeCell ref="B26:F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F7FA-A254-4ABE-8166-4EE05662F1B4}">
  <dimension ref="A1:H13"/>
  <sheetViews>
    <sheetView zoomScale="72" zoomScaleNormal="87" workbookViewId="0">
      <selection activeCell="A11" sqref="A11:XFD11"/>
    </sheetView>
  </sheetViews>
  <sheetFormatPr defaultRowHeight="14.5" x14ac:dyDescent="0.35"/>
  <cols>
    <col min="1" max="1" width="61.453125" bestFit="1" customWidth="1"/>
    <col min="2" max="2" width="28.26953125" bestFit="1" customWidth="1"/>
    <col min="3" max="3" width="24.36328125" bestFit="1" customWidth="1"/>
    <col min="4" max="4" width="18.54296875" bestFit="1" customWidth="1"/>
    <col min="5" max="5" width="18.81640625" bestFit="1" customWidth="1"/>
  </cols>
  <sheetData>
    <row r="1" spans="1:8" s="4" customFormat="1" ht="29" customHeight="1" x14ac:dyDescent="0.5">
      <c r="B1" s="6" t="s">
        <v>20</v>
      </c>
      <c r="C1" s="7"/>
      <c r="D1" s="7"/>
      <c r="E1" s="7"/>
      <c r="F1" s="7"/>
    </row>
    <row r="2" spans="1:8" x14ac:dyDescent="0.35">
      <c r="A2" s="3" t="s">
        <v>21</v>
      </c>
      <c r="B2" s="3"/>
    </row>
    <row r="3" spans="1:8" s="27" customFormat="1" ht="26" customHeight="1" x14ac:dyDescent="0.5">
      <c r="A3" s="5" t="s">
        <v>2</v>
      </c>
      <c r="B3" s="5" t="s">
        <v>16</v>
      </c>
      <c r="C3" s="5" t="s">
        <v>17</v>
      </c>
      <c r="D3" s="5" t="s">
        <v>18</v>
      </c>
      <c r="E3" s="5" t="s">
        <v>19</v>
      </c>
      <c r="F3" s="26"/>
      <c r="G3" s="26"/>
      <c r="H3" s="26"/>
    </row>
    <row r="4" spans="1:8" x14ac:dyDescent="0.35">
      <c r="A4" t="s">
        <v>3</v>
      </c>
      <c r="B4" s="1">
        <v>150000</v>
      </c>
      <c r="C4" s="1">
        <v>150000</v>
      </c>
      <c r="D4" s="1">
        <f>B4-C4</f>
        <v>0</v>
      </c>
      <c r="E4" s="1" t="str">
        <f>IF(D4&gt;=0,"Within Budget ✓","Over Budget ⚠")</f>
        <v>Within Budget ✓</v>
      </c>
      <c r="F4" s="1"/>
      <c r="G4" s="1"/>
      <c r="H4" s="1"/>
    </row>
    <row r="5" spans="1:8" x14ac:dyDescent="0.35">
      <c r="A5" t="s">
        <v>4</v>
      </c>
      <c r="B5" s="1">
        <v>60000</v>
      </c>
      <c r="C5" s="1">
        <v>72000</v>
      </c>
      <c r="D5" s="1">
        <f t="shared" ref="D5:D9" si="0">B5-C5</f>
        <v>-12000</v>
      </c>
      <c r="E5" s="1" t="str">
        <f t="shared" ref="E5:E10" si="1">IF(D5&gt;=0,"Within Budget ✓","Over Budget ⚠")</f>
        <v>Over Budget ⚠</v>
      </c>
      <c r="F5" s="1"/>
      <c r="G5" s="1"/>
      <c r="H5" s="1"/>
    </row>
    <row r="6" spans="1:8" x14ac:dyDescent="0.35">
      <c r="A6" t="s">
        <v>0</v>
      </c>
      <c r="B6" s="1">
        <v>25000</v>
      </c>
      <c r="C6" s="1">
        <v>28000</v>
      </c>
      <c r="D6" s="1">
        <f t="shared" si="0"/>
        <v>-3000</v>
      </c>
      <c r="E6" s="1" t="str">
        <f t="shared" si="1"/>
        <v>Over Budget ⚠</v>
      </c>
      <c r="F6" s="1"/>
      <c r="G6" s="1"/>
      <c r="H6" s="1"/>
    </row>
    <row r="7" spans="1:8" x14ac:dyDescent="0.35">
      <c r="A7" t="s">
        <v>1</v>
      </c>
      <c r="B7" s="1">
        <v>10000</v>
      </c>
      <c r="C7" s="1">
        <v>9500</v>
      </c>
      <c r="D7" s="1">
        <f t="shared" si="0"/>
        <v>500</v>
      </c>
      <c r="E7" s="1" t="str">
        <f t="shared" si="1"/>
        <v>Within Budget ✓</v>
      </c>
      <c r="F7" s="1"/>
      <c r="G7" s="1"/>
      <c r="H7" s="1"/>
    </row>
    <row r="8" spans="1:8" x14ac:dyDescent="0.35">
      <c r="A8" t="s">
        <v>9</v>
      </c>
      <c r="B8" s="1">
        <v>15000</v>
      </c>
      <c r="C8" s="1">
        <v>12000</v>
      </c>
      <c r="D8" s="1">
        <f t="shared" si="0"/>
        <v>3000</v>
      </c>
      <c r="E8" s="1" t="str">
        <f t="shared" si="1"/>
        <v>Within Budget ✓</v>
      </c>
    </row>
    <row r="9" spans="1:8" x14ac:dyDescent="0.35">
      <c r="A9" t="s">
        <v>5</v>
      </c>
      <c r="B9" s="1">
        <v>8000</v>
      </c>
      <c r="C9" s="1">
        <v>6000</v>
      </c>
      <c r="D9" s="1">
        <f t="shared" si="0"/>
        <v>2000</v>
      </c>
      <c r="E9" s="1" t="str">
        <f t="shared" si="1"/>
        <v>Within Budget ✓</v>
      </c>
    </row>
    <row r="10" spans="1:8" x14ac:dyDescent="0.35">
      <c r="A10" t="s">
        <v>33</v>
      </c>
      <c r="B10" s="1">
        <v>50000</v>
      </c>
      <c r="C10" s="1">
        <v>50000</v>
      </c>
      <c r="D10" s="1">
        <f>B10-C10</f>
        <v>0</v>
      </c>
      <c r="E10" s="1" t="str">
        <f t="shared" si="1"/>
        <v>Within Budget ✓</v>
      </c>
    </row>
    <row r="11" spans="1:8" s="16" customFormat="1" ht="18.5" x14ac:dyDescent="0.45">
      <c r="A11" s="18" t="s">
        <v>23</v>
      </c>
      <c r="B11" s="18">
        <v>400000</v>
      </c>
      <c r="C11" s="22"/>
      <c r="D11" s="22"/>
      <c r="E11" s="22"/>
    </row>
    <row r="12" spans="1:8" s="20" customFormat="1" ht="18.5" x14ac:dyDescent="0.45">
      <c r="A12" s="19" t="s">
        <v>22</v>
      </c>
      <c r="B12" s="23">
        <f>SUM(B4:B10)</f>
        <v>318000</v>
      </c>
      <c r="C12" s="23">
        <f>SUM(C4:C10)</f>
        <v>327500</v>
      </c>
      <c r="D12" s="23">
        <f>SUM(D4:D10)</f>
        <v>-9500</v>
      </c>
      <c r="E12" s="19" t="s">
        <v>43</v>
      </c>
    </row>
    <row r="13" spans="1:8" s="16" customFormat="1" ht="18.5" x14ac:dyDescent="0.45">
      <c r="A13" s="21" t="s">
        <v>24</v>
      </c>
      <c r="B13" s="24"/>
      <c r="C13" s="24"/>
      <c r="D13" s="25">
        <f>B11-C12</f>
        <v>72500</v>
      </c>
      <c r="E13" s="17"/>
    </row>
  </sheetData>
  <mergeCells count="1">
    <mergeCell ref="B1:F1"/>
  </mergeCells>
  <conditionalFormatting sqref="D4:D11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6A20-0D6E-49E4-BE64-32B46911FAAD}">
  <dimension ref="A1:H16"/>
  <sheetViews>
    <sheetView zoomScale="105" zoomScaleNormal="100" workbookViewId="0">
      <selection activeCell="E17" sqref="E17"/>
    </sheetView>
  </sheetViews>
  <sheetFormatPr defaultRowHeight="14.5" x14ac:dyDescent="0.35"/>
  <cols>
    <col min="1" max="1" width="10.453125" bestFit="1" customWidth="1"/>
    <col min="2" max="2" width="17.81640625" bestFit="1" customWidth="1"/>
    <col min="3" max="3" width="19.81640625" bestFit="1" customWidth="1"/>
    <col min="4" max="4" width="11.54296875" bestFit="1" customWidth="1"/>
    <col min="5" max="5" width="21.6328125" customWidth="1"/>
    <col min="6" max="6" width="2.7265625" customWidth="1"/>
    <col min="7" max="7" width="21.6328125" bestFit="1" customWidth="1"/>
  </cols>
  <sheetData>
    <row r="1" spans="1:8" ht="27.5" customHeight="1" x14ac:dyDescent="0.5">
      <c r="A1" s="15" t="s">
        <v>35</v>
      </c>
      <c r="B1" s="14"/>
      <c r="C1" s="14"/>
      <c r="D1" s="14"/>
      <c r="E1" s="14"/>
      <c r="G1" s="12" t="s">
        <v>37</v>
      </c>
      <c r="H1" s="13"/>
    </row>
    <row r="2" spans="1:8" x14ac:dyDescent="0.35">
      <c r="A2" s="10" t="s">
        <v>36</v>
      </c>
      <c r="B2" s="9"/>
      <c r="C2" s="9"/>
      <c r="D2" s="9"/>
      <c r="E2" s="9"/>
    </row>
    <row r="3" spans="1:8" ht="23.5" customHeight="1" x14ac:dyDescent="0.35">
      <c r="A3" s="28" t="s">
        <v>6</v>
      </c>
      <c r="B3" s="28" t="s">
        <v>2</v>
      </c>
      <c r="C3" s="28" t="s">
        <v>7</v>
      </c>
      <c r="D3" s="28" t="s">
        <v>8</v>
      </c>
      <c r="E3" s="28" t="s">
        <v>25</v>
      </c>
      <c r="G3" s="29" t="s">
        <v>42</v>
      </c>
      <c r="H3" s="31">
        <f>SUM(D4:D15)</f>
        <v>60000</v>
      </c>
    </row>
    <row r="4" spans="1:8" x14ac:dyDescent="0.35">
      <c r="A4" s="2">
        <v>46024</v>
      </c>
      <c r="B4" t="s">
        <v>4</v>
      </c>
      <c r="C4" t="s">
        <v>26</v>
      </c>
      <c r="D4" s="32">
        <v>8500</v>
      </c>
      <c r="E4" s="8" t="s">
        <v>31</v>
      </c>
      <c r="G4" s="30" t="s">
        <v>38</v>
      </c>
      <c r="H4" s="31">
        <f>COUNT(D4:D15)</f>
        <v>12</v>
      </c>
    </row>
    <row r="5" spans="1:8" x14ac:dyDescent="0.35">
      <c r="A5" s="2">
        <v>46027</v>
      </c>
      <c r="B5" t="s">
        <v>0</v>
      </c>
      <c r="C5" t="s">
        <v>10</v>
      </c>
      <c r="D5" s="32">
        <v>2500</v>
      </c>
      <c r="E5" s="8" t="s">
        <v>29</v>
      </c>
      <c r="G5" s="30" t="s">
        <v>41</v>
      </c>
      <c r="H5" s="31">
        <f>MIN(D4:D15)</f>
        <v>2500</v>
      </c>
    </row>
    <row r="6" spans="1:8" x14ac:dyDescent="0.35">
      <c r="A6" s="2">
        <v>46032</v>
      </c>
      <c r="B6" t="s">
        <v>1</v>
      </c>
      <c r="C6" t="s">
        <v>34</v>
      </c>
      <c r="D6" s="32">
        <v>5000</v>
      </c>
      <c r="E6" s="8" t="s">
        <v>29</v>
      </c>
      <c r="G6" s="30" t="s">
        <v>39</v>
      </c>
      <c r="H6" s="31">
        <f>MAX(D4:D15)</f>
        <v>9000</v>
      </c>
    </row>
    <row r="7" spans="1:8" x14ac:dyDescent="0.35">
      <c r="A7" s="2">
        <v>46032</v>
      </c>
      <c r="B7" t="s">
        <v>5</v>
      </c>
      <c r="C7" t="s">
        <v>11</v>
      </c>
      <c r="D7" s="32">
        <v>4500</v>
      </c>
      <c r="E7" s="8" t="s">
        <v>32</v>
      </c>
      <c r="G7" s="30" t="s">
        <v>40</v>
      </c>
      <c r="H7" s="31">
        <f>H3/H4</f>
        <v>5000</v>
      </c>
    </row>
    <row r="8" spans="1:8" x14ac:dyDescent="0.35">
      <c r="A8" s="2">
        <v>46037</v>
      </c>
      <c r="B8" t="s">
        <v>9</v>
      </c>
      <c r="C8" t="s">
        <v>12</v>
      </c>
      <c r="D8" s="32">
        <v>3000</v>
      </c>
      <c r="E8" s="8" t="s">
        <v>29</v>
      </c>
    </row>
    <row r="9" spans="1:8" x14ac:dyDescent="0.35">
      <c r="A9" s="2">
        <v>46038</v>
      </c>
      <c r="B9" t="s">
        <v>1</v>
      </c>
      <c r="C9" t="s">
        <v>13</v>
      </c>
      <c r="D9" s="32">
        <v>6000</v>
      </c>
      <c r="E9" s="8" t="s">
        <v>32</v>
      </c>
    </row>
    <row r="10" spans="1:8" x14ac:dyDescent="0.35">
      <c r="A10" s="2">
        <v>46039</v>
      </c>
      <c r="B10" t="s">
        <v>4</v>
      </c>
      <c r="C10" t="s">
        <v>14</v>
      </c>
      <c r="D10" s="32">
        <v>5000</v>
      </c>
      <c r="E10" s="8" t="s">
        <v>31</v>
      </c>
    </row>
    <row r="11" spans="1:8" x14ac:dyDescent="0.35">
      <c r="A11" s="2">
        <v>46040</v>
      </c>
      <c r="B11" t="s">
        <v>0</v>
      </c>
      <c r="C11" t="s">
        <v>15</v>
      </c>
      <c r="D11" s="32">
        <v>3500</v>
      </c>
      <c r="E11" s="8" t="s">
        <v>32</v>
      </c>
    </row>
    <row r="12" spans="1:8" x14ac:dyDescent="0.35">
      <c r="A12" s="2">
        <v>46041</v>
      </c>
      <c r="B12" t="s">
        <v>9</v>
      </c>
      <c r="C12" t="s">
        <v>28</v>
      </c>
      <c r="D12" s="32">
        <v>3500</v>
      </c>
      <c r="E12" s="8" t="s">
        <v>32</v>
      </c>
    </row>
    <row r="13" spans="1:8" x14ac:dyDescent="0.35">
      <c r="A13" s="2">
        <v>46042</v>
      </c>
      <c r="B13" t="s">
        <v>1</v>
      </c>
      <c r="C13" t="s">
        <v>27</v>
      </c>
      <c r="D13" s="32">
        <v>3500</v>
      </c>
      <c r="E13" s="8" t="s">
        <v>32</v>
      </c>
    </row>
    <row r="14" spans="1:8" x14ac:dyDescent="0.35">
      <c r="A14" s="2">
        <v>46043</v>
      </c>
      <c r="B14" t="s">
        <v>0</v>
      </c>
      <c r="C14" t="s">
        <v>15</v>
      </c>
      <c r="D14" s="32">
        <v>6000</v>
      </c>
      <c r="E14" s="8" t="s">
        <v>29</v>
      </c>
    </row>
    <row r="15" spans="1:8" x14ac:dyDescent="0.35">
      <c r="A15" s="2">
        <v>46044</v>
      </c>
      <c r="B15" t="s">
        <v>4</v>
      </c>
      <c r="C15" t="s">
        <v>30</v>
      </c>
      <c r="D15" s="32">
        <v>9000</v>
      </c>
      <c r="E15" s="8" t="s">
        <v>31</v>
      </c>
    </row>
    <row r="16" spans="1:8" ht="15.5" x14ac:dyDescent="0.35">
      <c r="A16" s="33" t="s">
        <v>44</v>
      </c>
      <c r="B16" s="33"/>
      <c r="C16" s="33"/>
      <c r="D16" s="34">
        <f>SUM(D4:D15)</f>
        <v>60000</v>
      </c>
    </row>
  </sheetData>
  <mergeCells count="4">
    <mergeCell ref="A1:E1"/>
    <mergeCell ref="A2:E2"/>
    <mergeCell ref="G1:H1"/>
    <mergeCell ref="A16:C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Monthly Budget</vt:lpstr>
      <vt:lpstr>Expense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Shukurat Rabiu</dc:creator>
  <cp:lastModifiedBy>Shukurat Rabiu</cp:lastModifiedBy>
  <dcterms:created xsi:type="dcterms:W3CDTF">2026-05-12T13:06:41Z</dcterms:created>
  <dcterms:modified xsi:type="dcterms:W3CDTF">2026-05-14T14:24:29Z</dcterms:modified>
</cp:coreProperties>
</file>